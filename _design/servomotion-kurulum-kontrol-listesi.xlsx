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Yükleme Adımları" sheetId="2" state="visible" r:id="rId4"/>
    <sheet name="Eksik Veriler" sheetId="3" state="visible" r:id="rId5"/>
  </sheets>
  <definedNames>
    <definedName function="false" hidden="true" localSheetId="2" name="_xlnm._FilterDatabase" vbProcedure="false">'Eksik Veriler'!$A$1:$G$18</definedName>
    <definedName function="false" hidden="true" localSheetId="1" name="_xlnm._FilterDatabase" vbProcedure="false">'Yükleme Adımları'!$A$1:$E$8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<sst xmlns="http://schemas.openxmlformats.org/spreadsheetml/2006/main" count="176" uniqueCount="107">
  <si>
    <t xml:space="preserve">ServoMotion sitesi — kurulum ve tamamlanacaklar</t>
  </si>
  <si>
    <t xml:space="preserve">servomotion.com.tr · 27 Türkçe + 9 İngilizce sayfa · güncelleme 13.09.2026</t>
  </si>
  <si>
    <t xml:space="preserve">Doldurulacak hücreler</t>
  </si>
  <si>
    <t xml:space="preserve">“Eksik Veriler” sayfasındaki Durum ve Not sütunları; “Yükleme Adımları” sayfasındaki Durum sütunu.</t>
  </si>
  <si>
    <t xml:space="preserve">Toplam madde</t>
  </si>
  <si>
    <t xml:space="preserve">Tamamlanan</t>
  </si>
  <si>
    <t xml:space="preserve">Bekleyen</t>
  </si>
  <si>
    <t xml:space="preserve">Yüksek öncelikli bekleyen</t>
  </si>
  <si>
    <t xml:space="preserve">Not</t>
  </si>
  <si>
    <t xml:space="preserve">Durum sütununu güncelledikçe yukarıdaki sayılar kendiliğinden değişir.</t>
  </si>
  <si>
    <t xml:space="preserve">#</t>
  </si>
  <si>
    <t xml:space="preserve">Adım</t>
  </si>
  <si>
    <t xml:space="preserve">Açıklama</t>
  </si>
  <si>
    <t xml:space="preserve">Sorumlu</t>
  </si>
  <si>
    <t xml:space="preserve">Durum</t>
  </si>
  <si>
    <t xml:space="preserve">1</t>
  </si>
  <si>
    <t xml:space="preserve">Alan adı kontrolü</t>
  </si>
  <si>
    <t xml:space="preserve">sitemap.xml, robots.txt ve tüm sayfalardaki canonical / og:url etiketleri https://servomotion.com.tr/ adresine göre yazıldı. Farklı adres kullanılacaksa topluca değiştirin.</t>
  </si>
  <si>
    <t xml:space="preserve">Web yöneticisi</t>
  </si>
  <si>
    <t xml:space="preserve">Yapılacak</t>
  </si>
  <si>
    <t xml:space="preserve">2</t>
  </si>
  <si>
    <t xml:space="preserve">404 yönlendirmesi</t>
  </si>
  <si>
    <t xml:space="preserve">Sunucuda hata sayfası olarak 404.html tanımlayın. Apache: ErrorDocument 404 /404.html</t>
  </si>
  <si>
    <t xml:space="preserve">3</t>
  </si>
  <si>
    <t xml:space="preserve">Eski blog dosyaları</t>
  </si>
  <si>
    <t xml:space="preserve">Sunucuda önceki adlandırmayla yüklenmiş blog-*.html dosyaları varsa silin.</t>
  </si>
  <si>
    <t xml:space="preserve">4</t>
  </si>
  <si>
    <t xml:space="preserve">PDF dosyaları</t>
  </si>
  <si>
    <t xml:space="preserve">Veri sayfası PDF’leri HTML dosyalarıyla aynı klasörde olmalı; dokumanlar.html oradan bağlanıyor.</t>
  </si>
  <si>
    <t xml:space="preserve">5</t>
  </si>
  <si>
    <t xml:space="preserve">Form ucu (isteğe bağlı)</t>
  </si>
  <si>
    <t xml:space="preserve">iletisim.html içindeki SERVOMOTION_FORM_ENDPOINT alanına form servisi adresi yazılırsa özet doğrudan e-postanıza düşer. Bağlanırsa KVKK metnindeki “sunucuya veri gönderen form yok” cümlesi güncellenmeli.</t>
  </si>
  <si>
    <t xml:space="preserve">Web yöneticisi + hukuk</t>
  </si>
  <si>
    <t xml:space="preserve">Değerlendirilecek</t>
  </si>
  <si>
    <t xml:space="preserve">6</t>
  </si>
  <si>
    <t xml:space="preserve">Yazı tipleri</t>
  </si>
  <si>
    <t xml:space="preserve">Barlow, Barlow Condensed ve IBM Plex Mono Google Fonts üzerinden çekiliyor. Kendi sunucunuza almak gizlilik ve hız açısından daha temiz; assets/base.css içindeki font tanımı güncellenir.</t>
  </si>
  <si>
    <t xml:space="preserve">7</t>
  </si>
  <si>
    <t xml:space="preserve">Arama motoruna bildirim</t>
  </si>
  <si>
    <t xml:space="preserve">Yayına aldıktan sonra sitemap.xml adresini Google Search Console’a tanıtın.</t>
  </si>
  <si>
    <t xml:space="preserve">Pazarlama</t>
  </si>
  <si>
    <t xml:space="preserve">Kategori</t>
  </si>
  <si>
    <t xml:space="preserve">Madde</t>
  </si>
  <si>
    <t xml:space="preserve">Nereye işlenecek</t>
  </si>
  <si>
    <t xml:space="preserve">Kimden</t>
  </si>
  <si>
    <t xml:space="preserve">Öncelik</t>
  </si>
  <si>
    <t xml:space="preserve">Teknik</t>
  </si>
  <si>
    <t xml:space="preserve">Lazer modülü sınıfı ve dalga boyu</t>
  </si>
  <si>
    <t xml:space="preserve">Ürün sayfaları → Teknik Özellikler; veri sayfası PDF’leri</t>
  </si>
  <si>
    <t xml:space="preserve">Mahmut / teknik ekip</t>
  </si>
  <si>
    <t xml:space="preserve">Yüksek</t>
  </si>
  <si>
    <t xml:space="preserve">Tamamlandı</t>
  </si>
  <si>
    <t xml:space="preserve">IEC 60825-1 · Sınıf 2M/3R, optik güce göre. Kırmızı 635–660 nm, yeşil 515–532 nm</t>
  </si>
  <si>
    <t xml:space="preserve">Gövde koruma sınıfı (IP)</t>
  </si>
  <si>
    <t xml:space="preserve">Ürün sayfaları → Mekanik &amp; Hareket</t>
  </si>
  <si>
    <t xml:space="preserve">IP54 · daha yüksek koruma talebe göre</t>
  </si>
  <si>
    <t xml:space="preserve">Çalışma sıcaklığı ve nem aralığı</t>
  </si>
  <si>
    <t xml:space="preserve">Ürün sayfaları → Kontrol &amp; Haberleşme</t>
  </si>
  <si>
    <t xml:space="preserve">Orta</t>
  </si>
  <si>
    <t xml:space="preserve">+10 … +40 °C · %10–90 bağıl nem, yoğuşmasız</t>
  </si>
  <si>
    <t xml:space="preserve">Besleme gerilimi ve güç tüketimi</t>
  </si>
  <si>
    <t xml:space="preserve">220 V AC 50 Hz; güç tüketimi lazer sayısına göre değişir</t>
  </si>
  <si>
    <t xml:space="preserve">Sistem ağırlığı (tipik gövde boyu)</t>
  </si>
  <si>
    <t xml:space="preserve">Uygulamaya göre değişir · teklifte belirtilir</t>
  </si>
  <si>
    <t xml:space="preserve">Montaj arayüzü: delik deseni / bağlantı tipi</t>
  </si>
  <si>
    <t xml:space="preserve">Uygulamaya göre belirlenir</t>
  </si>
  <si>
    <t xml:space="preserve">CE / uygunluk sertifikası</t>
  </si>
  <si>
    <t xml:space="preserve">dokumanlar.html · TR ve EN ürün sayfaları</t>
  </si>
  <si>
    <t xml:space="preserve">Mahmut</t>
  </si>
  <si>
    <t xml:space="preserve">TÜV Rheinland sertifikası (AK 50498967 0001) indirilebilir olarak eklendi</t>
  </si>
  <si>
    <t xml:space="preserve">Kurumsal</t>
  </si>
  <si>
    <t xml:space="preserve">Saha fotoğrafları (en az 3–5 kurulum)</t>
  </si>
  <si>
    <t xml:space="preserve">foto/ klasörü · referanslar, kurumsal, shuttle sayfaları</t>
  </si>
  <si>
    <t xml:space="preserve">Devam ediyor</t>
  </si>
  <si>
    <t xml:space="preserve">Alanlar açıldı (foto/*.jpg). Aynı adla gerçek fotoğrafları koyunca yerine geçer</t>
  </si>
  <si>
    <t xml:space="preserve">Referans müşteri adı paylaşım izni</t>
  </si>
  <si>
    <t xml:space="preserve">referanslar.html</t>
  </si>
  <si>
    <t xml:space="preserve">Düşük</t>
  </si>
  <si>
    <t xml:space="preserve">Anonim kalıyor</t>
  </si>
  <si>
    <t xml:space="preserve">Logo seçimi</t>
  </si>
  <si>
    <t xml:space="preserve">Tüm sayfaların menüsü</t>
  </si>
  <si>
    <t xml:space="preserve">Poppins · Servo (regular) + Motion (bold) kelime markası</t>
  </si>
  <si>
    <t xml:space="preserve">Ekip görünürlüğü: isim veya fotoğraf</t>
  </si>
  <si>
    <t xml:space="preserve">kurumsal.html</t>
  </si>
  <si>
    <t xml:space="preserve">Gerekmiyor</t>
  </si>
  <si>
    <t xml:space="preserve">Gerek görülmedi</t>
  </si>
  <si>
    <t xml:space="preserve">Hukuk</t>
  </si>
  <si>
    <t xml:space="preserve">KVKK metninin hukukçu onayı</t>
  </si>
  <si>
    <t xml:space="preserve">kvkk.html</t>
  </si>
  <si>
    <t xml:space="preserve">Hukuk danışmanı</t>
  </si>
  <si>
    <t xml:space="preserve">Mevcut metin korunuyor</t>
  </si>
  <si>
    <t xml:space="preserve">İçerik</t>
  </si>
  <si>
    <t xml:space="preserve">Rehber yayın tarihleri</t>
  </si>
  <si>
    <t xml:space="preserve">rehber.html + 11 yazı</t>
  </si>
  <si>
    <t xml:space="preserve">16.09.2026</t>
  </si>
  <si>
    <t xml:space="preserve">İngilizce</t>
  </si>
  <si>
    <t xml:space="preserve">EN veri sayfası PDF’leri</t>
  </si>
  <si>
    <t xml:space="preserve">en/core-precisor.html · en/shuttle-precisor.html</t>
  </si>
  <si>
    <t xml:space="preserve">Claude</t>
  </si>
  <si>
    <t xml:space="preserve">servomotion-*-precisor-datasheet.pdf</t>
  </si>
  <si>
    <t xml:space="preserve">EN sözlük ve SSS</t>
  </si>
  <si>
    <t xml:space="preserve">en/glossary.html · en/faq.html</t>
  </si>
  <si>
    <t xml:space="preserve">24 terim · 18 soru</t>
  </si>
  <si>
    <t xml:space="preserve">Ürün sayfalarındaki interaktif araçların çevirisi</t>
  </si>
  <si>
    <t xml:space="preserve">Core simülasyonu ve Shuttle konfigüratörü İngilizce çalışıyor</t>
  </si>
  <si>
    <t xml:space="preserve">Tomruk dilimleme (ağaç) vaka çalışması</t>
  </si>
  <si>
    <t xml:space="preserve">Kart eklendi (Core Precisor K3) · strok değeri bekleniyor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</si>
</sst>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1"/>
      <name val="Arial"/>
      <family val="0"/>
      <charset val="1"/>
    </font>
    <font>
      <sz val="10"/>
      <color rgb="FF6C7E9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D400"/>
        <bgColor rgb="FFFFFF00"/>
      </patternFill>
    </fill>
    <fill>
      <patternFill patternType="solid">
        <fgColor rgb="FF0B0F14"/>
        <bgColor rgb="FF000000"/>
      </patternFill>
    </fill>
    <fill>
      <patternFill patternType="solid">
        <fgColor rgb="FFF2F5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8"/>
      </left>
      <right style="thin">
        <color rgb="FFD9E0E8"/>
      </right>
      <top style="thin">
        <color rgb="FFD9E0E8"/>
      </top>
      <bottom style="thin">
        <color rgb="FFD9E0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0F14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C7E92"/>
      <rgbColor rgb="FF9999FF"/>
      <rgbColor rgb="FF993366"/>
      <rgbColor rgb="FFF2F5F8"/>
      <rgbColor rgb="FFCCFFFF"/>
      <rgbColor rgb="FF660066"/>
      <rgbColor rgb="FFFF8080"/>
      <rgbColor rgb="FF0066CC"/>
      <rgbColor rgb="FFD9E0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400"/>
      <rgbColor rgb="FFFF9900"/>
      <rgbColor rgb="FFFF6600"/>
      <rgbColor rgb="FF666699"/>
      <rgbColor rgb="FF969696"/>
      <rgbColor rgb="FF003366"/>
      <rgbColor rgb="FF339966"/>
      <rgbColor rgb="FF0B0F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6"/>
  </cols>
  <sheetData>
    <row r="1" customFormat="false" ht="50.7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2" t="s">
        <v>3</v>
      </c>
    </row>
    <row r="5" customFormat="false" ht="15" hidden="false" customHeight="false" outlineLevel="0" collapsed="false">
      <c r="A5" s="2"/>
      <c r="B5" s="2"/>
    </row>
    <row r="6" customFormat="false" ht="15" hidden="false" customHeight="false" outlineLevel="0" collapsed="false">
      <c r="A6" s="4" t="s">
        <v>4</v>
      </c>
      <c r="B6" s="2" t="n">
        <f aca="false">COUNTA('Eksik Veriler'!B2:B100)</f>
        <v>17</v>
      </c>
    </row>
    <row r="7" customFormat="false" ht="15" hidden="false" customHeight="false" outlineLevel="0" collapsed="false">
      <c r="A7" s="4" t="s">
        <v>5</v>
      </c>
      <c r="B7" s="2" t="n">
        <f aca="false">COUNTIF('Eksik Veriler'!F2:F100,"Tamamlandı")</f>
        <v>14</v>
      </c>
    </row>
    <row r="8" customFormat="false" ht="15" hidden="false" customHeight="false" outlineLevel="0" collapsed="false">
      <c r="A8" s="4" t="s">
        <v>6</v>
      </c>
      <c r="B8" s="2" t="n">
        <f aca="false">COUNTIF('Eksik Veriler'!F2:F100,"Bekliyor")</f>
        <v>0</v>
      </c>
    </row>
    <row r="9" customFormat="false" ht="15" hidden="false" customHeight="false" outlineLevel="0" collapsed="false">
      <c r="A9" s="4" t="s">
        <v>7</v>
      </c>
      <c r="B9" s="2" t="n">
        <f aca="false">COUNTIFS('Eksik Veriler'!E2:E100,"Yüksek",'Eksik Veriler'!F2:F100,"Bekliyor")</f>
        <v>0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4" t="s">
        <v>8</v>
      </c>
      <c r="B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26.85" hidden="false" customHeight="false" outlineLevel="0" collapsed="false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</row>
    <row r="3" customFormat="false" ht="15" hidden="false" customHeight="false" outlineLevel="0" collapsed="false">
      <c r="A3" s="7" t="s">
        <v>20</v>
      </c>
      <c r="B3" s="7" t="s">
        <v>21</v>
      </c>
      <c r="C3" s="7" t="s">
        <v>22</v>
      </c>
      <c r="D3" s="7" t="s">
        <v>18</v>
      </c>
      <c r="E3" s="7" t="s">
        <v>19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18</v>
      </c>
      <c r="E4" s="6" t="s">
        <v>19</v>
      </c>
    </row>
    <row r="5" customFormat="false" ht="26.8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18</v>
      </c>
      <c r="E5" s="7" t="s">
        <v>19</v>
      </c>
    </row>
    <row r="6" customFormat="false" ht="39.55" hidden="false" customHeight="false" outlineLevel="0" collapsed="false">
      <c r="A6" s="6" t="s">
        <v>29</v>
      </c>
      <c r="B6" s="6" t="s">
        <v>30</v>
      </c>
      <c r="C6" s="6" t="s">
        <v>31</v>
      </c>
      <c r="D6" s="6" t="s">
        <v>32</v>
      </c>
      <c r="E6" s="6" t="s">
        <v>33</v>
      </c>
    </row>
    <row r="7" customFormat="false" ht="39.55" hidden="false" customHeight="false" outlineLevel="0" collapsed="false">
      <c r="A7" s="7" t="s">
        <v>34</v>
      </c>
      <c r="B7" s="7" t="s">
        <v>35</v>
      </c>
      <c r="C7" s="7" t="s">
        <v>36</v>
      </c>
      <c r="D7" s="7" t="s">
        <v>18</v>
      </c>
      <c r="E7" s="7" t="s">
        <v>33</v>
      </c>
    </row>
    <row r="8" customFormat="false" ht="15" hidden="false" customHeight="false" outlineLevel="0" collapsed="false">
      <c r="A8" s="6" t="s">
        <v>37</v>
      </c>
      <c r="B8" s="6" t="s">
        <v>38</v>
      </c>
      <c r="C8" s="6" t="s">
        <v>39</v>
      </c>
      <c r="D8" s="6" t="s">
        <v>40</v>
      </c>
      <c r="E8" s="6" t="s">
        <v>19</v>
      </c>
    </row>
  </sheetData>
  <autoFilter ref="A1:E8"/>
  <dataValidations count="1">
    <dataValidation allowBlank="true" errorStyle="stop" operator="between" showDropDown="false" showErrorMessage="false" showInputMessage="false" sqref="E2:E8" type="list">
      <formula1>"Yapılacak,Devam ediyor,Tamamlandı,Değerlendirilecek"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5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14</v>
      </c>
      <c r="G1" s="5" t="s">
        <v>8</v>
      </c>
    </row>
    <row r="2" customFormat="false" ht="39.55" hidden="false" customHeight="false" outlineLevel="0" collapsed="false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</row>
    <row r="3" customFormat="false" ht="26.85" hidden="false" customHeight="false" outlineLevel="0" collapsed="false">
      <c r="A3" s="7" t="s">
        <v>46</v>
      </c>
      <c r="B3" s="7" t="s">
        <v>53</v>
      </c>
      <c r="C3" s="7" t="s">
        <v>54</v>
      </c>
      <c r="D3" s="7" t="s">
        <v>49</v>
      </c>
      <c r="E3" s="7" t="s">
        <v>50</v>
      </c>
      <c r="F3" s="7" t="s">
        <v>51</v>
      </c>
      <c r="G3" s="7" t="s">
        <v>55</v>
      </c>
    </row>
    <row r="4" customFormat="false" ht="26.85" hidden="false" customHeight="false" outlineLevel="0" collapsed="false">
      <c r="A4" s="6" t="s">
        <v>46</v>
      </c>
      <c r="B4" s="6" t="s">
        <v>56</v>
      </c>
      <c r="C4" s="6" t="s">
        <v>57</v>
      </c>
      <c r="D4" s="6" t="s">
        <v>49</v>
      </c>
      <c r="E4" s="6" t="s">
        <v>58</v>
      </c>
      <c r="F4" s="6" t="s">
        <v>51</v>
      </c>
      <c r="G4" s="6" t="s">
        <v>59</v>
      </c>
    </row>
    <row r="5" customFormat="false" ht="26.85" hidden="false" customHeight="false" outlineLevel="0" collapsed="false">
      <c r="A5" s="7" t="s">
        <v>46</v>
      </c>
      <c r="B5" s="7" t="s">
        <v>60</v>
      </c>
      <c r="C5" s="7" t="s">
        <v>57</v>
      </c>
      <c r="D5" s="7" t="s">
        <v>49</v>
      </c>
      <c r="E5" s="7" t="s">
        <v>58</v>
      </c>
      <c r="F5" s="7" t="s">
        <v>51</v>
      </c>
      <c r="G5" s="7" t="s">
        <v>61</v>
      </c>
    </row>
    <row r="6" customFormat="false" ht="26.85" hidden="false" customHeight="false" outlineLevel="0" collapsed="false">
      <c r="A6" s="6" t="s">
        <v>46</v>
      </c>
      <c r="B6" s="6" t="s">
        <v>62</v>
      </c>
      <c r="C6" s="6" t="s">
        <v>54</v>
      </c>
      <c r="D6" s="6" t="s">
        <v>49</v>
      </c>
      <c r="E6" s="6" t="s">
        <v>58</v>
      </c>
      <c r="F6" s="6" t="s">
        <v>51</v>
      </c>
      <c r="G6" s="6" t="s">
        <v>63</v>
      </c>
    </row>
    <row r="7" customFormat="false" ht="15" hidden="false" customHeight="false" outlineLevel="0" collapsed="false">
      <c r="A7" s="7" t="s">
        <v>46</v>
      </c>
      <c r="B7" s="7" t="s">
        <v>64</v>
      </c>
      <c r="C7" s="7" t="s">
        <v>54</v>
      </c>
      <c r="D7" s="7" t="s">
        <v>49</v>
      </c>
      <c r="E7" s="7" t="s">
        <v>58</v>
      </c>
      <c r="F7" s="7" t="s">
        <v>51</v>
      </c>
      <c r="G7" s="7" t="s">
        <v>65</v>
      </c>
    </row>
    <row r="8" customFormat="false" ht="39.55" hidden="false" customHeight="false" outlineLevel="0" collapsed="false">
      <c r="A8" s="6" t="s">
        <v>46</v>
      </c>
      <c r="B8" s="6" t="s">
        <v>66</v>
      </c>
      <c r="C8" s="6" t="s">
        <v>67</v>
      </c>
      <c r="D8" s="6" t="s">
        <v>68</v>
      </c>
      <c r="E8" s="6" t="s">
        <v>50</v>
      </c>
      <c r="F8" s="6" t="s">
        <v>51</v>
      </c>
      <c r="G8" s="6" t="s">
        <v>69</v>
      </c>
    </row>
    <row r="9" customFormat="false" ht="39.55" hidden="false" customHeight="false" outlineLevel="0" collapsed="false">
      <c r="A9" s="7" t="s">
        <v>70</v>
      </c>
      <c r="B9" s="7" t="s">
        <v>71</v>
      </c>
      <c r="C9" s="7" t="s">
        <v>72</v>
      </c>
      <c r="D9" s="7" t="s">
        <v>68</v>
      </c>
      <c r="E9" s="7" t="s">
        <v>50</v>
      </c>
      <c r="F9" s="7" t="s">
        <v>73</v>
      </c>
      <c r="G9" s="7" t="s">
        <v>74</v>
      </c>
    </row>
    <row r="10" customFormat="false" ht="15" hidden="false" customHeight="false" outlineLevel="0" collapsed="false">
      <c r="A10" s="6" t="s">
        <v>70</v>
      </c>
      <c r="B10" s="6" t="s">
        <v>75</v>
      </c>
      <c r="C10" s="6" t="s">
        <v>76</v>
      </c>
      <c r="D10" s="6" t="s">
        <v>68</v>
      </c>
      <c r="E10" s="6" t="s">
        <v>77</v>
      </c>
      <c r="F10" s="6" t="s">
        <v>51</v>
      </c>
      <c r="G10" s="6" t="s">
        <v>78</v>
      </c>
    </row>
    <row r="11" customFormat="false" ht="26.85" hidden="false" customHeight="false" outlineLevel="0" collapsed="false">
      <c r="A11" s="7" t="s">
        <v>70</v>
      </c>
      <c r="B11" s="7" t="s">
        <v>79</v>
      </c>
      <c r="C11" s="7" t="s">
        <v>80</v>
      </c>
      <c r="D11" s="7" t="s">
        <v>68</v>
      </c>
      <c r="E11" s="7" t="s">
        <v>50</v>
      </c>
      <c r="F11" s="7" t="s">
        <v>51</v>
      </c>
      <c r="G11" s="7" t="s">
        <v>81</v>
      </c>
    </row>
    <row r="12" customFormat="false" ht="15" hidden="false" customHeight="false" outlineLevel="0" collapsed="false">
      <c r="A12" s="6" t="s">
        <v>70</v>
      </c>
      <c r="B12" s="6" t="s">
        <v>82</v>
      </c>
      <c r="C12" s="6" t="s">
        <v>83</v>
      </c>
      <c r="D12" s="6" t="s">
        <v>68</v>
      </c>
      <c r="E12" s="6" t="s">
        <v>77</v>
      </c>
      <c r="F12" s="6" t="s">
        <v>84</v>
      </c>
      <c r="G12" s="6" t="s">
        <v>85</v>
      </c>
    </row>
    <row r="13" customFormat="false" ht="15" hidden="false" customHeight="false" outlineLevel="0" collapsed="false">
      <c r="A13" s="7" t="s">
        <v>86</v>
      </c>
      <c r="B13" s="7" t="s">
        <v>87</v>
      </c>
      <c r="C13" s="7" t="s">
        <v>88</v>
      </c>
      <c r="D13" s="7" t="s">
        <v>89</v>
      </c>
      <c r="E13" s="7" t="s">
        <v>50</v>
      </c>
      <c r="F13" s="7" t="s">
        <v>51</v>
      </c>
      <c r="G13" s="7" t="s">
        <v>90</v>
      </c>
    </row>
    <row r="14" customFormat="false" ht="15" hidden="false" customHeight="false" outlineLevel="0" collapsed="false">
      <c r="A14" s="6" t="s">
        <v>91</v>
      </c>
      <c r="B14" s="6" t="s">
        <v>92</v>
      </c>
      <c r="C14" s="6" t="s">
        <v>93</v>
      </c>
      <c r="D14" s="6" t="s">
        <v>68</v>
      </c>
      <c r="E14" s="6" t="s">
        <v>58</v>
      </c>
      <c r="F14" s="6" t="s">
        <v>51</v>
      </c>
      <c r="G14" s="6" t="s">
        <v>94</v>
      </c>
    </row>
    <row r="15" customFormat="false" ht="26.85" hidden="false" customHeight="false" outlineLevel="0" collapsed="false">
      <c r="A15" s="7" t="s">
        <v>95</v>
      </c>
      <c r="B15" s="7" t="s">
        <v>96</v>
      </c>
      <c r="C15" s="7" t="s">
        <v>97</v>
      </c>
      <c r="D15" s="7" t="s">
        <v>98</v>
      </c>
      <c r="E15" s="7" t="s">
        <v>58</v>
      </c>
      <c r="F15" s="7" t="s">
        <v>51</v>
      </c>
      <c r="G15" s="7" t="s">
        <v>99</v>
      </c>
    </row>
    <row r="16" customFormat="false" ht="15" hidden="false" customHeight="false" outlineLevel="0" collapsed="false">
      <c r="A16" s="6" t="s">
        <v>95</v>
      </c>
      <c r="B16" s="6" t="s">
        <v>100</v>
      </c>
      <c r="C16" s="6" t="s">
        <v>101</v>
      </c>
      <c r="D16" s="6" t="s">
        <v>98</v>
      </c>
      <c r="E16" s="6" t="s">
        <v>77</v>
      </c>
      <c r="F16" s="6" t="s">
        <v>51</v>
      </c>
      <c r="G16" s="6" t="s">
        <v>102</v>
      </c>
    </row>
    <row r="17" customFormat="false" ht="26.85" hidden="false" customHeight="false" outlineLevel="0" collapsed="false">
      <c r="A17" s="7" t="s">
        <v>95</v>
      </c>
      <c r="B17" s="7" t="s">
        <v>103</v>
      </c>
      <c r="C17" s="7" t="s">
        <v>97</v>
      </c>
      <c r="D17" s="7" t="s">
        <v>98</v>
      </c>
      <c r="E17" s="7" t="s">
        <v>77</v>
      </c>
      <c r="F17" s="7" t="s">
        <v>51</v>
      </c>
      <c r="G17" s="7" t="s">
        <v>104</v>
      </c>
    </row>
    <row r="18" customFormat="false" ht="26.85" hidden="false" customHeight="false" outlineLevel="0" collapsed="false">
      <c r="A18" s="6" t="s">
        <v>91</v>
      </c>
      <c r="B18" s="6" t="s">
        <v>105</v>
      </c>
      <c r="C18" s="6" t="s">
        <v>76</v>
      </c>
      <c r="D18" s="6" t="s">
        <v>68</v>
      </c>
      <c r="E18" s="6" t="s">
        <v>50</v>
      </c>
      <c r="F18" s="6" t="s">
        <v>73</v>
      </c>
      <c r="G18" s="6" t="s">
        <v>106</v>
      </c>
    </row>
  </sheetData>
  <autoFilter ref="A1:G18"/>
  <dataValidations count="2">
    <dataValidation allowBlank="true" errorStyle="stop" operator="between" showDropDown="false" showErrorMessage="false" showInputMessage="false" sqref="F2:F18" type="list">
      <formula1>"Bekliyor,Devam ediyor,Tamamlandı,Değerlendirilecek,Gerekmiyor"</formula1>
      <formula2>0</formula2>
    </dataValidation>
    <dataValidation allowBlank="true" errorStyle="stop" operator="between" showDropDown="false" showErrorMessage="false" showInputMessage="false" sqref="E2:E18" type="list">
      <formula1>"Yüksek,Orta,Düşük"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2026-09-13T16:11:59Z</dcterms:created>
  <dc:creator>openpyxl</dc:creator>
  <dc:description/>
  <dc:language>en-US</dc:language>
  <cp:lastModifiedBy/>
  <dcterms:modified xsi:type="dcterms:W3CDTF">2026-09-13T16:11:59Z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