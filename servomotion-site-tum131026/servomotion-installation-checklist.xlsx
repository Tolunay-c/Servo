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Upload Steps" sheetId="2" state="visible" r:id="rId2"/>
    <sheet xmlns:r="http://schemas.openxmlformats.org/officeDocument/2006/relationships" name="Open Items" sheetId="3" state="visible" r:id="rId3"/>
  </sheets>
  <definedNames>
    <definedName name="_xlnm._FilterDatabase" localSheetId="1" hidden="1">'Upload Steps'!$A$1:$E$8</definedName>
    <definedName name="_xlnm._FilterDatabase" localSheetId="2" hidden="1">'Open Items'!$A$1:$G$18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sz val="11"/>
    </font>
    <font>
      <name val="Arial"/>
      <b val="1"/>
      <color rgb="FFFFFFFF"/>
      <sz val="11"/>
    </font>
    <font>
      <name val="Arial"/>
      <b val="1"/>
      <sz val="15"/>
    </font>
    <font>
      <name val="Arial"/>
      <color rgb="FF6C7E92"/>
      <sz val="10"/>
    </font>
    <font>
      <name val="Arial"/>
      <b val="1"/>
      <sz val="11"/>
    </font>
  </fonts>
  <fills count="5">
    <fill>
      <patternFill/>
    </fill>
    <fill>
      <patternFill patternType="gray125"/>
    </fill>
    <fill>
      <patternFill patternType="solid">
        <fgColor rgb="FF0B0F14"/>
      </patternFill>
    </fill>
    <fill>
      <patternFill patternType="solid">
        <fgColor rgb="FFF2F5F8"/>
      </patternFill>
    </fill>
    <fill>
      <patternFill patternType="solid">
        <fgColor rgb="FFFFD400"/>
      </patternFill>
    </fill>
  </fills>
  <borders count="2">
    <border>
      <left/>
      <right/>
      <top/>
      <bottom/>
      <diagonal/>
    </border>
    <border>
      <left style="thin">
        <color rgb="FFD9E0E8"/>
      </left>
      <right style="thin">
        <color rgb="FFD9E0E8"/>
      </right>
      <top style="thin">
        <color rgb="FFD9E0E8"/>
      </top>
      <bottom style="thin">
        <color rgb="FFD9E0E8"/>
      </bottom>
    </border>
  </borders>
  <cellStyleXfs count="1">
    <xf numFmtId="0" fontId="0" fillId="0" borderId="0"/>
  </cellStyleXfs>
  <cellXfs count="8">
    <xf numFmtId="0" fontId="0" fillId="0" borderId="0" pivotButton="0" quotePrefix="0" xfId="0"/>
    <xf numFmtId="0" fontId="3" fillId="4" borderId="0" applyAlignment="1" pivotButton="0" quotePrefix="0" xfId="0">
      <alignment vertical="top" wrapText="1"/>
    </xf>
    <xf numFmtId="0" fontId="1"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2" borderId="1" applyAlignment="1" pivotButton="0" quotePrefix="0" xfId="0">
      <alignment vertical="center" wrapText="1"/>
    </xf>
    <xf numFmtId="0" fontId="1" fillId="3" borderId="1" applyAlignment="1" pivotButton="0" quotePrefix="0" xfId="0">
      <alignment vertical="top"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min="1" max="1"/>
    <col width="96" customWidth="1" min="2" max="2"/>
  </cols>
  <sheetData>
    <row r="1">
      <c r="A1" s="1" t="inlineStr">
        <is>
          <t>ServoMotion website — installation and outstanding items</t>
        </is>
      </c>
      <c r="B1" s="2" t="n"/>
    </row>
    <row r="2">
      <c r="A2" s="3" t="inlineStr">
        <is>
          <t>servomotion.com.tr · 27 Turkish + 9 English pages · updated 13.09.2026</t>
        </is>
      </c>
      <c r="B2" s="2" t="n"/>
    </row>
    <row r="3">
      <c r="A3" s="2" t="n"/>
      <c r="B3" s="2" t="n"/>
    </row>
    <row r="4">
      <c r="A4" s="4" t="inlineStr">
        <is>
          <t>Cells to fill in</t>
        </is>
      </c>
      <c r="B4" s="2" t="inlineStr">
        <is>
          <t>The Status and Note columns on the “Open Items” sheet; the Status column on the “Upload Steps” sheet.</t>
        </is>
      </c>
    </row>
    <row r="5">
      <c r="A5" s="2" t="n"/>
      <c r="B5" s="2" t="n"/>
    </row>
    <row r="6">
      <c r="A6" s="4" t="inlineStr">
        <is>
          <t>Total items</t>
        </is>
      </c>
      <c r="B6" s="2">
        <f>COUNTA('Open Items'!B2:B100)</f>
        <v/>
      </c>
    </row>
    <row r="7">
      <c r="A7" s="4" t="inlineStr">
        <is>
          <t>Complete</t>
        </is>
      </c>
      <c r="B7" s="2">
        <f>COUNTIF('Open Items'!F2:F100,"Complete")</f>
        <v/>
      </c>
    </row>
    <row r="8">
      <c r="A8" s="4" t="inlineStr">
        <is>
          <t>Waiting</t>
        </is>
      </c>
      <c r="B8" s="2">
        <f>COUNTIF('Open Items'!F2:F100,"Waiting")</f>
        <v/>
      </c>
    </row>
    <row r="9">
      <c r="A9" s="4" t="inlineStr">
        <is>
          <t>High priority, still waiting</t>
        </is>
      </c>
      <c r="B9" s="2">
        <f>COUNTIFS('Open Items'!E2:E100,"High",'Open Items'!F2:F100,"Waiting")</f>
        <v/>
      </c>
    </row>
    <row r="10">
      <c r="A10" s="2" t="n"/>
      <c r="B10" s="2" t="n"/>
    </row>
    <row r="11">
      <c r="A11" s="4" t="inlineStr">
        <is>
          <t>Note</t>
        </is>
      </c>
      <c r="B11" s="2" t="inlineStr">
        <is>
          <t>The figures above update by themselves as you keep the Status column current.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88" customWidth="1" min="3" max="3"/>
    <col width="22" customWidth="1" min="4" max="4"/>
    <col width="18" customWidth="1" min="5" max="5"/>
  </cols>
  <sheetData>
    <row r="1" ht="26" customHeight="1">
      <c r="A1" s="5" t="inlineStr">
        <is>
          <t>#</t>
        </is>
      </c>
      <c r="B1" s="5" t="inlineStr">
        <is>
          <t>Step</t>
        </is>
      </c>
      <c r="C1" s="5" t="inlineStr">
        <is>
          <t>Description</t>
        </is>
      </c>
      <c r="D1" s="5" t="inlineStr">
        <is>
          <t>Owner</t>
        </is>
      </c>
      <c r="E1" s="5" t="inlineStr">
        <is>
          <t>Status</t>
        </is>
      </c>
    </row>
    <row r="2">
      <c r="A2" s="6" t="inlineStr">
        <is>
          <t>1</t>
        </is>
      </c>
      <c r="B2" s="6" t="inlineStr">
        <is>
          <t>Domain check</t>
        </is>
      </c>
      <c r="C2" s="6" t="inlineStr">
        <is>
          <t>sitemap.xml, robots.txt and the canonical / og:url tags on every page are written against https://servomotion.com.tr/. If a different address will be used, change them all together.</t>
        </is>
      </c>
      <c r="D2" s="6" t="inlineStr">
        <is>
          <t>Web administrator</t>
        </is>
      </c>
      <c r="E2" s="6" t="inlineStr">
        <is>
          <t>To do</t>
        </is>
      </c>
    </row>
    <row r="3">
      <c r="A3" s="7" t="inlineStr">
        <is>
          <t>2</t>
        </is>
      </c>
      <c r="B3" s="7" t="inlineStr">
        <is>
          <t>404 redirect</t>
        </is>
      </c>
      <c r="C3" s="7" t="inlineStr">
        <is>
          <t>Define 404.html as the error page on the server. Apache: ErrorDocument 404 /404.html</t>
        </is>
      </c>
      <c r="D3" s="7" t="inlineStr">
        <is>
          <t>Web administrator</t>
        </is>
      </c>
      <c r="E3" s="7" t="inlineStr">
        <is>
          <t>To do</t>
        </is>
      </c>
    </row>
    <row r="4">
      <c r="A4" s="6" t="inlineStr">
        <is>
          <t>3</t>
        </is>
      </c>
      <c r="B4" s="6" t="inlineStr">
        <is>
          <t>Former blog files</t>
        </is>
      </c>
      <c r="C4" s="6" t="inlineStr">
        <is>
          <t>Delete any blog-*.html files already uploaded to the server under the previous naming.</t>
        </is>
      </c>
      <c r="D4" s="6" t="inlineStr">
        <is>
          <t>Web administrator</t>
        </is>
      </c>
      <c r="E4" s="6" t="inlineStr">
        <is>
          <t>To do</t>
        </is>
      </c>
    </row>
    <row r="5">
      <c r="A5" s="7" t="inlineStr">
        <is>
          <t>4</t>
        </is>
      </c>
      <c r="B5" s="7" t="inlineStr">
        <is>
          <t>PDF files</t>
        </is>
      </c>
      <c r="C5" s="7" t="inlineStr">
        <is>
          <t>Keep the datasheet PDFs in the same folder as the HTML files; dokumanlar.html links to them from there.</t>
        </is>
      </c>
      <c r="D5" s="7" t="inlineStr">
        <is>
          <t>Web administrator</t>
        </is>
      </c>
      <c r="E5" s="7" t="inlineStr">
        <is>
          <t>To do</t>
        </is>
      </c>
    </row>
    <row r="6">
      <c r="A6" s="6" t="inlineStr">
        <is>
          <t>5</t>
        </is>
      </c>
      <c r="B6" s="6" t="inlineStr">
        <is>
          <t>Form endpoint (optional)</t>
        </is>
      </c>
      <c r="C6" s="6" t="inlineStr">
        <is>
          <t>Enter the address of a form service in the SERVOMOTION_FORM_ENDPOINT field inside iletisim.html and the summary arrives straight in your email. If you connect it, update the sentence in the KVKK privacy notice stating that no form sends data to a server.</t>
        </is>
      </c>
      <c r="D6" s="6" t="inlineStr">
        <is>
          <t>Web administrator + legal</t>
        </is>
      </c>
      <c r="E6" s="6" t="inlineStr">
        <is>
          <t>To be decided</t>
        </is>
      </c>
    </row>
    <row r="7">
      <c r="A7" s="7" t="inlineStr">
        <is>
          <t>6</t>
        </is>
      </c>
      <c r="B7" s="7" t="inlineStr">
        <is>
          <t>Fonts</t>
        </is>
      </c>
      <c r="C7" s="7" t="inlineStr">
        <is>
          <t>Barlow, Barlow Condensed and IBM Plex Mono are pulled from Google Fonts. Hosting them on your own server is cleaner for privacy and speed; the font declaration in assets/base.css is then updated.</t>
        </is>
      </c>
      <c r="D7" s="7" t="inlineStr">
        <is>
          <t>Web administrator</t>
        </is>
      </c>
      <c r="E7" s="7" t="inlineStr">
        <is>
          <t>To be decided</t>
        </is>
      </c>
    </row>
    <row r="8">
      <c r="A8" s="6" t="inlineStr">
        <is>
          <t>7</t>
        </is>
      </c>
      <c r="B8" s="6" t="inlineStr">
        <is>
          <t>Tell the search engine</t>
        </is>
      </c>
      <c r="C8" s="6" t="inlineStr">
        <is>
          <t>Once the site is live, submit the sitemap.xml address to Google Search Console.</t>
        </is>
      </c>
      <c r="D8" s="6" t="inlineStr">
        <is>
          <t>Marketing</t>
        </is>
      </c>
      <c r="E8" s="6" t="inlineStr">
        <is>
          <t>To do</t>
        </is>
      </c>
    </row>
  </sheetData>
  <autoFilter ref="A1:E8"/>
  <dataValidations count="1">
    <dataValidation sqref="E2:E8" showDropDown="0" showInputMessage="0" showErrorMessage="0" allowBlank="1" type="list">
      <formula1>"To do,In progress,Complete,To be decided"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4" customWidth="1" min="1" max="1"/>
    <col width="46" customWidth="1" min="2" max="2"/>
    <col width="58" customWidth="1" min="3" max="3"/>
    <col width="22" customWidth="1" min="4" max="4"/>
    <col width="12" customWidth="1" min="5" max="5"/>
    <col width="14" customWidth="1" min="6" max="6"/>
    <col width="34" customWidth="1" min="7" max="7"/>
  </cols>
  <sheetData>
    <row r="1" ht="26" customHeight="1">
      <c r="A1" s="5" t="inlineStr">
        <is>
          <t>Category</t>
        </is>
      </c>
      <c r="B1" s="5" t="inlineStr">
        <is>
          <t>Item</t>
        </is>
      </c>
      <c r="C1" s="5" t="inlineStr">
        <is>
          <t>Where it goes</t>
        </is>
      </c>
      <c r="D1" s="5" t="inlineStr">
        <is>
          <t>From</t>
        </is>
      </c>
      <c r="E1" s="5" t="inlineStr">
        <is>
          <t>Priority</t>
        </is>
      </c>
      <c r="F1" s="5" t="inlineStr">
        <is>
          <t>Status</t>
        </is>
      </c>
      <c r="G1" s="5" t="inlineStr">
        <is>
          <t>Note</t>
        </is>
      </c>
    </row>
    <row r="2">
      <c r="A2" s="6" t="inlineStr">
        <is>
          <t>Technical</t>
        </is>
      </c>
      <c r="B2" s="6" t="inlineStr">
        <is>
          <t>Laser module class and wavelength</t>
        </is>
      </c>
      <c r="C2" s="6" t="inlineStr">
        <is>
          <t>Product pages → Technical Specifications; datasheet PDFs</t>
        </is>
      </c>
      <c r="D2" s="6" t="inlineStr">
        <is>
          <t>Mahmut / technical team</t>
        </is>
      </c>
      <c r="E2" s="6" t="inlineStr">
        <is>
          <t>High</t>
        </is>
      </c>
      <c r="F2" s="6" t="inlineStr">
        <is>
          <t>Complete</t>
        </is>
      </c>
      <c r="G2" s="6" t="inlineStr">
        <is>
          <t>IEC 60825-1 · Class 2M/3R, according to optical power. Red 635–660 nm, green 515–532 nm</t>
        </is>
      </c>
    </row>
    <row r="3">
      <c r="A3" s="7" t="inlineStr">
        <is>
          <t>Technical</t>
        </is>
      </c>
      <c r="B3" s="7" t="inlineStr">
        <is>
          <t>Housing protection rating (IP)</t>
        </is>
      </c>
      <c r="C3" s="7" t="inlineStr">
        <is>
          <t>Product pages → Mechanics &amp; Motion</t>
        </is>
      </c>
      <c r="D3" s="7" t="inlineStr">
        <is>
          <t>Mahmut / technical team</t>
        </is>
      </c>
      <c r="E3" s="7" t="inlineStr">
        <is>
          <t>High</t>
        </is>
      </c>
      <c r="F3" s="7" t="inlineStr">
        <is>
          <t>Complete</t>
        </is>
      </c>
      <c r="G3" s="7" t="inlineStr">
        <is>
          <t>IP54 · higher protection on request</t>
        </is>
      </c>
    </row>
    <row r="4">
      <c r="A4" s="6" t="inlineStr">
        <is>
          <t>Technical</t>
        </is>
      </c>
      <c r="B4" s="6" t="inlineStr">
        <is>
          <t>Operating temperature and humidity range</t>
        </is>
      </c>
      <c r="C4" s="6" t="inlineStr">
        <is>
          <t>Product pages → Control &amp; Communication</t>
        </is>
      </c>
      <c r="D4" s="6" t="inlineStr">
        <is>
          <t>Mahmut / technical team</t>
        </is>
      </c>
      <c r="E4" s="6" t="inlineStr">
        <is>
          <t>Medium</t>
        </is>
      </c>
      <c r="F4" s="6" t="inlineStr">
        <is>
          <t>Complete</t>
        </is>
      </c>
      <c r="G4" s="6" t="inlineStr">
        <is>
          <t>+10 … +40 °C · 10–90% relative humidity, non-condensing</t>
        </is>
      </c>
    </row>
    <row r="5">
      <c r="A5" s="7" t="inlineStr">
        <is>
          <t>Technical</t>
        </is>
      </c>
      <c r="B5" s="7" t="inlineStr">
        <is>
          <t>Supply voltage and power consumption</t>
        </is>
      </c>
      <c r="C5" s="7" t="inlineStr">
        <is>
          <t>Product pages → Control &amp; Communication</t>
        </is>
      </c>
      <c r="D5" s="7" t="inlineStr">
        <is>
          <t>Mahmut / technical team</t>
        </is>
      </c>
      <c r="E5" s="7" t="inlineStr">
        <is>
          <t>Medium</t>
        </is>
      </c>
      <c r="F5" s="7" t="inlineStr">
        <is>
          <t>Complete</t>
        </is>
      </c>
      <c r="G5" s="7" t="inlineStr">
        <is>
          <t>220 V AC 50 Hz; power consumption varies with the number of lasers</t>
        </is>
      </c>
    </row>
    <row r="6">
      <c r="A6" s="6" t="inlineStr">
        <is>
          <t>Technical</t>
        </is>
      </c>
      <c r="B6" s="6" t="inlineStr">
        <is>
          <t>System weight (typical housing length)</t>
        </is>
      </c>
      <c r="C6" s="6" t="inlineStr">
        <is>
          <t>Product pages → Mechanics &amp; Motion</t>
        </is>
      </c>
      <c r="D6" s="6" t="inlineStr">
        <is>
          <t>Mahmut / technical team</t>
        </is>
      </c>
      <c r="E6" s="6" t="inlineStr">
        <is>
          <t>Medium</t>
        </is>
      </c>
      <c r="F6" s="6" t="inlineStr">
        <is>
          <t>Complete</t>
        </is>
      </c>
      <c r="G6" s="6" t="inlineStr">
        <is>
          <t>Varies with the application · stated in the quotation</t>
        </is>
      </c>
    </row>
    <row r="7">
      <c r="A7" s="7" t="inlineStr">
        <is>
          <t>Technical</t>
        </is>
      </c>
      <c r="B7" s="7" t="inlineStr">
        <is>
          <t>Mounting interface: hole pattern / connection type</t>
        </is>
      </c>
      <c r="C7" s="7" t="inlineStr">
        <is>
          <t>Product pages → Mechanics &amp; Motion</t>
        </is>
      </c>
      <c r="D7" s="7" t="inlineStr">
        <is>
          <t>Mahmut / technical team</t>
        </is>
      </c>
      <c r="E7" s="7" t="inlineStr">
        <is>
          <t>Medium</t>
        </is>
      </c>
      <c r="F7" s="7" t="inlineStr">
        <is>
          <t>Complete</t>
        </is>
      </c>
      <c r="G7" s="7" t="inlineStr">
        <is>
          <t>Determined by the application</t>
        </is>
      </c>
    </row>
    <row r="8">
      <c r="A8" s="6" t="inlineStr">
        <is>
          <t>Technical</t>
        </is>
      </c>
      <c r="B8" s="6" t="inlineStr">
        <is>
          <t>CE / declaration of conformity</t>
        </is>
      </c>
      <c r="C8" s="6" t="inlineStr">
        <is>
          <t>dokumanlar.html · TR and EN product pages</t>
        </is>
      </c>
      <c r="D8" s="6" t="inlineStr">
        <is>
          <t>Mahmut</t>
        </is>
      </c>
      <c r="E8" s="6" t="inlineStr">
        <is>
          <t>High</t>
        </is>
      </c>
      <c r="F8" s="6" t="inlineStr">
        <is>
          <t>Complete</t>
        </is>
      </c>
      <c r="G8" s="6" t="inlineStr">
        <is>
          <t>TÜV Rheinland certificate (AK 50498967 0001) added as a download</t>
        </is>
      </c>
    </row>
    <row r="9">
      <c r="A9" s="7" t="inlineStr">
        <is>
          <t>Company</t>
        </is>
      </c>
      <c r="B9" s="7" t="inlineStr">
        <is>
          <t>Site photographs (at least 3–5 installations)</t>
        </is>
      </c>
      <c r="C9" s="7" t="inlineStr">
        <is>
          <t>foto/ folder · references, company and shuttle pages</t>
        </is>
      </c>
      <c r="D9" s="7" t="inlineStr">
        <is>
          <t>Mahmut</t>
        </is>
      </c>
      <c r="E9" s="7" t="inlineStr">
        <is>
          <t>High</t>
        </is>
      </c>
      <c r="F9" s="7" t="inlineStr">
        <is>
          <t>In progress</t>
        </is>
      </c>
      <c r="G9" s="7" t="inlineStr">
        <is>
          <t>Placeholders opened (foto/*.jpg). Putting the real photographs in under the same names replaces them</t>
        </is>
      </c>
    </row>
    <row r="10">
      <c r="A10" s="6" t="inlineStr">
        <is>
          <t>Company</t>
        </is>
      </c>
      <c r="B10" s="6" t="inlineStr">
        <is>
          <t>Consent to share reference customer names</t>
        </is>
      </c>
      <c r="C10" s="6" t="inlineStr">
        <is>
          <t>referanslar.html</t>
        </is>
      </c>
      <c r="D10" s="6" t="inlineStr">
        <is>
          <t>Mahmut</t>
        </is>
      </c>
      <c r="E10" s="6" t="inlineStr">
        <is>
          <t>Low</t>
        </is>
      </c>
      <c r="F10" s="6" t="inlineStr">
        <is>
          <t>Complete</t>
        </is>
      </c>
      <c r="G10" s="6" t="inlineStr">
        <is>
          <t>Staying anonymous</t>
        </is>
      </c>
    </row>
    <row r="11">
      <c r="A11" s="7" t="inlineStr">
        <is>
          <t>Company</t>
        </is>
      </c>
      <c r="B11" s="7" t="inlineStr">
        <is>
          <t>Logo choice</t>
        </is>
      </c>
      <c r="C11" s="7" t="inlineStr">
        <is>
          <t>Menu on every page</t>
        </is>
      </c>
      <c r="D11" s="7" t="inlineStr">
        <is>
          <t>Mahmut</t>
        </is>
      </c>
      <c r="E11" s="7" t="inlineStr">
        <is>
          <t>High</t>
        </is>
      </c>
      <c r="F11" s="7" t="inlineStr">
        <is>
          <t>Complete</t>
        </is>
      </c>
      <c r="G11" s="7" t="inlineStr">
        <is>
          <t>Poppins · Servo (regular) + Motion (bold) wordmark</t>
        </is>
      </c>
    </row>
    <row r="12">
      <c r="A12" s="6" t="inlineStr">
        <is>
          <t>Company</t>
        </is>
      </c>
      <c r="B12" s="6" t="inlineStr">
        <is>
          <t>Team visibility: names or photographs</t>
        </is>
      </c>
      <c r="C12" s="6" t="inlineStr">
        <is>
          <t>kurumsal.html</t>
        </is>
      </c>
      <c r="D12" s="6" t="inlineStr">
        <is>
          <t>Mahmut</t>
        </is>
      </c>
      <c r="E12" s="6" t="inlineStr">
        <is>
          <t>Low</t>
        </is>
      </c>
      <c r="F12" s="6" t="inlineStr">
        <is>
          <t>Not required</t>
        </is>
      </c>
      <c r="G12" s="6" t="inlineStr">
        <is>
          <t>Not considered necessary</t>
        </is>
      </c>
    </row>
    <row r="13">
      <c r="A13" s="7" t="inlineStr">
        <is>
          <t>Legal</t>
        </is>
      </c>
      <c r="B13" s="7" t="inlineStr">
        <is>
          <t>Legal review of the KVKK privacy notice</t>
        </is>
      </c>
      <c r="C13" s="7" t="inlineStr">
        <is>
          <t>kvkk.html</t>
        </is>
      </c>
      <c r="D13" s="7" t="inlineStr">
        <is>
          <t>Legal adviser</t>
        </is>
      </c>
      <c r="E13" s="7" t="inlineStr">
        <is>
          <t>High</t>
        </is>
      </c>
      <c r="F13" s="7" t="inlineStr">
        <is>
          <t>Complete</t>
        </is>
      </c>
      <c r="G13" s="7" t="inlineStr">
        <is>
          <t>Existing text retained</t>
        </is>
      </c>
    </row>
    <row r="14">
      <c r="A14" s="6" t="inlineStr">
        <is>
          <t>Content</t>
        </is>
      </c>
      <c r="B14" s="6" t="inlineStr">
        <is>
          <t>Guide publication dates</t>
        </is>
      </c>
      <c r="C14" s="6" t="inlineStr">
        <is>
          <t>rehber.html + 11 articles</t>
        </is>
      </c>
      <c r="D14" s="6" t="inlineStr">
        <is>
          <t>Mahmut</t>
        </is>
      </c>
      <c r="E14" s="6" t="inlineStr">
        <is>
          <t>Medium</t>
        </is>
      </c>
      <c r="F14" s="6" t="inlineStr">
        <is>
          <t>Complete</t>
        </is>
      </c>
      <c r="G14" s="6" t="inlineStr">
        <is>
          <t>16.09.2026</t>
        </is>
      </c>
    </row>
    <row r="15">
      <c r="A15" s="7" t="inlineStr">
        <is>
          <t>English</t>
        </is>
      </c>
      <c r="B15" s="7" t="inlineStr">
        <is>
          <t>EN datasheet PDFs</t>
        </is>
      </c>
      <c r="C15" s="7" t="inlineStr">
        <is>
          <t>en/core-precisor.html · en/shuttle-precisor.html</t>
        </is>
      </c>
      <c r="D15" s="7" t="inlineStr">
        <is>
          <t>Claude</t>
        </is>
      </c>
      <c r="E15" s="7" t="inlineStr">
        <is>
          <t>Medium</t>
        </is>
      </c>
      <c r="F15" s="7" t="inlineStr">
        <is>
          <t>Complete</t>
        </is>
      </c>
      <c r="G15" s="7" t="inlineStr">
        <is>
          <t>servomotion-*-precisor-datasheet.pdf</t>
        </is>
      </c>
    </row>
    <row r="16">
      <c r="A16" s="6" t="inlineStr">
        <is>
          <t>English</t>
        </is>
      </c>
      <c r="B16" s="6" t="inlineStr">
        <is>
          <t>EN glossary and FAQ</t>
        </is>
      </c>
      <c r="C16" s="6" t="inlineStr">
        <is>
          <t>en/glossary.html · en/faq.html</t>
        </is>
      </c>
      <c r="D16" s="6" t="inlineStr">
        <is>
          <t>Claude</t>
        </is>
      </c>
      <c r="E16" s="6" t="inlineStr">
        <is>
          <t>Low</t>
        </is>
      </c>
      <c r="F16" s="6" t="inlineStr">
        <is>
          <t>Complete</t>
        </is>
      </c>
      <c r="G16" s="6" t="inlineStr">
        <is>
          <t>24 terms · 18 questions</t>
        </is>
      </c>
    </row>
    <row r="17">
      <c r="A17" s="7" t="inlineStr">
        <is>
          <t>English</t>
        </is>
      </c>
      <c r="B17" s="7" t="inlineStr">
        <is>
          <t>Translation of the interactive tools on the product pages</t>
        </is>
      </c>
      <c r="C17" s="7" t="inlineStr">
        <is>
          <t>en/core-precisor.html · en/shuttle-precisor.html</t>
        </is>
      </c>
      <c r="D17" s="7" t="inlineStr">
        <is>
          <t>Claude</t>
        </is>
      </c>
      <c r="E17" s="7" t="inlineStr">
        <is>
          <t>Low</t>
        </is>
      </c>
      <c r="F17" s="7" t="inlineStr">
        <is>
          <t>Complete</t>
        </is>
      </c>
      <c r="G17" s="7" t="inlineStr">
        <is>
          <t>The Core simulation and the Shuttle configurator run in English</t>
        </is>
      </c>
    </row>
    <row r="18">
      <c r="A18" s="6" t="inlineStr">
        <is>
          <t>Content</t>
        </is>
      </c>
      <c r="B18" s="6" t="inlineStr">
        <is>
          <t>Log slicing (timber) case study</t>
        </is>
      </c>
      <c r="C18" s="6" t="inlineStr">
        <is>
          <t>referanslar.html</t>
        </is>
      </c>
      <c r="D18" s="6" t="inlineStr">
        <is>
          <t>Mahmut</t>
        </is>
      </c>
      <c r="E18" s="6" t="inlineStr">
        <is>
          <t>High</t>
        </is>
      </c>
      <c r="F18" s="6" t="inlineStr">
        <is>
          <t>In progress</t>
        </is>
      </c>
      <c r="G18" s="6" t="inlineStr">
        <is>
          <t>Card added (Core Precisor K3) · travel figure awaited</t>
        </is>
      </c>
    </row>
  </sheetData>
  <autoFilter ref="A1:G18"/>
  <dataValidations count="2">
    <dataValidation sqref="F2:F18" showDropDown="0" showInputMessage="0" showErrorMessage="0" allowBlank="1" type="list">
      <formula1>"Waiting,In progress,Complete,To be decided,Not required"</formula1>
    </dataValidation>
    <dataValidation sqref="E2:E18"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2026-09-17T08:49:52Z</dcterms:created>
  <dcterms:modified xmlns:dcterms="http://purl.org/dc/terms/" xmlns:xsi="http://www.w3.org/2001/XMLSchema-instance" xsi:type="dcterms:W3CDTF">2026-09-17T08:49:52Z</dcterms:modified>
</cp:coreProperties>
</file>